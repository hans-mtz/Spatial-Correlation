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SD Hans/Github/Spatial Correlation/Theta/outputs/"/>
    </mc:Choice>
  </mc:AlternateContent>
  <xr:revisionPtr revIDLastSave="0" documentId="13_ncr:1_{CD2195E2-E757-1C4C-A8D9-3067E3AC3B66}" xr6:coauthVersionLast="47" xr6:coauthVersionMax="47" xr10:uidLastSave="{00000000-0000-0000-0000-000000000000}"/>
  <bookViews>
    <workbookView xWindow="5180" yWindow="1880" windowWidth="28040" windowHeight="17180" xr2:uid="{9B0911AB-210D-7149-ACE3-E9576959D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L14" i="1"/>
  <c r="L15" i="1"/>
  <c r="L16" i="1"/>
  <c r="L17" i="1"/>
  <c r="L18" i="1"/>
  <c r="L19" i="1"/>
  <c r="L13" i="1"/>
  <c r="C20" i="1"/>
  <c r="C21" i="1" s="1"/>
  <c r="D20" i="1"/>
  <c r="D21" i="1" s="1"/>
  <c r="E20" i="1"/>
  <c r="E21" i="1" s="1"/>
  <c r="F20" i="1"/>
  <c r="F21" i="1" s="1"/>
  <c r="G20" i="1"/>
  <c r="G21" i="1" s="1"/>
  <c r="H20" i="1"/>
  <c r="H21" i="1" s="1"/>
  <c r="I20" i="1"/>
  <c r="I21" i="1" s="1"/>
  <c r="J20" i="1"/>
  <c r="J21" i="1" s="1"/>
  <c r="K20" i="1"/>
  <c r="K21" i="1" s="1"/>
  <c r="B20" i="1"/>
  <c r="B21" i="1" s="1"/>
  <c r="L21" i="1" s="1"/>
  <c r="B9" i="1"/>
  <c r="B22" i="1" l="1"/>
</calcChain>
</file>

<file path=xl/sharedStrings.xml><?xml version="1.0" encoding="utf-8"?>
<sst xmlns="http://schemas.openxmlformats.org/spreadsheetml/2006/main" count="1" uniqueCount="1">
  <si>
    <t>Bwd/PC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</si>
</sst>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2"/>
      <color theme="1"/>
      <name val="Aptos Narrow"/>
      <family val="2"/>
      <scheme val="minor"/>
    </font>
    <font>
      <sz val="14"/>
      <color rgb="FFCCCCCC"/>
      <name val="Courier New"/>
      <family val="1"/>
    </font>
    <font>
      <sz val="14"/>
      <color rgb="FF569CD6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C448-85DD-5D44-AECE-0702CEBC0F28}">
  <dimension ref="A1:L23"/>
  <sheetViews>
    <sheetView tabSelected="1" workbookViewId="0">
      <selection activeCell="N24" sqref="N24"/>
    </sheetView>
  </sheetViews>
  <sheetFormatPr baseColWidth="10" defaultRowHeight="16" x14ac:dyDescent="0.2"/>
  <sheetData>
    <row r="1" spans="1:12" ht="19" x14ac:dyDescent="0.25">
      <c r="A1" s="1">
        <v>0</v>
      </c>
      <c r="B1">
        <v>7.2903000000000002</v>
      </c>
      <c r="C1">
        <v>4.8173000000000004</v>
      </c>
      <c r="D1">
        <v>4.0542999999999996</v>
      </c>
      <c r="E1">
        <v>3.4601999999999999</v>
      </c>
      <c r="F1">
        <v>3.1246999999999998</v>
      </c>
      <c r="G1">
        <v>2.9363000000000001</v>
      </c>
      <c r="H1">
        <v>2.7770000000000001</v>
      </c>
      <c r="I1">
        <v>2.7044000000000001</v>
      </c>
      <c r="J1">
        <v>2.6539000000000001</v>
      </c>
      <c r="K1">
        <v>2.6284999999999998</v>
      </c>
    </row>
    <row r="2" spans="1:12" ht="19" x14ac:dyDescent="0.25">
      <c r="A2" s="1">
        <v>2.5000000000000001E-2</v>
      </c>
      <c r="B2">
        <v>6.2293000000000003</v>
      </c>
      <c r="C2">
        <v>4.3</v>
      </c>
      <c r="D2">
        <v>3.6922999999999999</v>
      </c>
      <c r="E2">
        <v>3.1909000000000001</v>
      </c>
      <c r="F2">
        <v>2.9236</v>
      </c>
      <c r="G2">
        <v>2.7745000000000002</v>
      </c>
      <c r="H2">
        <v>2.6322999999999999</v>
      </c>
      <c r="I2">
        <v>2.5605000000000002</v>
      </c>
      <c r="J2">
        <v>2.5202</v>
      </c>
      <c r="K2">
        <v>2.4975999999999998</v>
      </c>
    </row>
    <row r="3" spans="1:12" ht="19" x14ac:dyDescent="0.25">
      <c r="A3" s="1">
        <v>0.05</v>
      </c>
      <c r="B3">
        <v>5.0068000000000001</v>
      </c>
      <c r="C3">
        <v>3.6936</v>
      </c>
      <c r="D3">
        <v>3.2797999999999998</v>
      </c>
      <c r="E3">
        <v>2.9182999999999999</v>
      </c>
      <c r="F3">
        <v>2.7408999999999999</v>
      </c>
      <c r="G3">
        <v>2.6341999999999999</v>
      </c>
      <c r="H3">
        <v>2.5283000000000002</v>
      </c>
      <c r="I3">
        <v>2.4687999999999999</v>
      </c>
      <c r="J3">
        <v>2.4344000000000001</v>
      </c>
      <c r="K3">
        <v>2.4133</v>
      </c>
    </row>
    <row r="4" spans="1:12" ht="19" x14ac:dyDescent="0.25">
      <c r="A4" s="1">
        <v>7.4999999999999997E-2</v>
      </c>
      <c r="B4">
        <v>4.2435999999999998</v>
      </c>
      <c r="C4">
        <v>3.3138000000000001</v>
      </c>
      <c r="D4">
        <v>3.0217999999999998</v>
      </c>
      <c r="E4">
        <v>2.7610999999999999</v>
      </c>
      <c r="F4">
        <v>2.6355</v>
      </c>
      <c r="G4">
        <v>2.5476999999999999</v>
      </c>
      <c r="H4">
        <v>2.4603000000000002</v>
      </c>
      <c r="I4">
        <v>2.4062999999999999</v>
      </c>
      <c r="J4">
        <v>2.3689</v>
      </c>
      <c r="K4">
        <v>2.3450000000000002</v>
      </c>
    </row>
    <row r="5" spans="1:12" ht="19" x14ac:dyDescent="0.25">
      <c r="A5" s="1">
        <v>0.1</v>
      </c>
      <c r="B5">
        <v>3.7768999999999999</v>
      </c>
      <c r="C5">
        <v>3.0802999999999998</v>
      </c>
      <c r="D5">
        <v>2.8603999999999998</v>
      </c>
      <c r="E5">
        <v>2.6629</v>
      </c>
      <c r="F5">
        <v>2.5642999999999998</v>
      </c>
      <c r="G5">
        <v>2.4826999999999999</v>
      </c>
      <c r="H5">
        <v>2.403</v>
      </c>
      <c r="I5">
        <v>2.3502999999999998</v>
      </c>
      <c r="J5">
        <v>2.3094000000000001</v>
      </c>
      <c r="K5">
        <v>2.2841999999999998</v>
      </c>
    </row>
    <row r="6" spans="1:12" ht="19" x14ac:dyDescent="0.25">
      <c r="A6" s="1">
        <v>0.125</v>
      </c>
      <c r="B6">
        <v>3.4805999999999999</v>
      </c>
      <c r="C6">
        <v>2.9323999999999999</v>
      </c>
      <c r="D6">
        <v>2.7549999999999999</v>
      </c>
      <c r="E6">
        <v>2.5966999999999998</v>
      </c>
      <c r="F6">
        <v>2.5127000000000002</v>
      </c>
      <c r="G6">
        <v>2.4337</v>
      </c>
      <c r="H6">
        <v>2.3589000000000002</v>
      </c>
      <c r="I6">
        <v>2.3069000000000002</v>
      </c>
      <c r="J6">
        <v>2.2645</v>
      </c>
      <c r="K6">
        <v>2.2391000000000001</v>
      </c>
    </row>
    <row r="7" spans="1:12" ht="19" x14ac:dyDescent="0.25">
      <c r="A7" s="1">
        <v>0.15</v>
      </c>
      <c r="B7">
        <v>3.2869999999999999</v>
      </c>
      <c r="C7">
        <v>2.8361000000000001</v>
      </c>
      <c r="D7">
        <v>2.6844999999999999</v>
      </c>
      <c r="E7">
        <v>2.5516000000000001</v>
      </c>
      <c r="F7">
        <v>2.4767999999999999</v>
      </c>
      <c r="G7">
        <v>2.3997000000000002</v>
      </c>
      <c r="H7">
        <v>2.3294999999999999</v>
      </c>
      <c r="I7">
        <v>2.2784</v>
      </c>
      <c r="J7">
        <v>2.2355</v>
      </c>
      <c r="K7">
        <v>2.2105999999999999</v>
      </c>
    </row>
    <row r="9" spans="1:12" x14ac:dyDescent="0.2">
      <c r="B9">
        <f>AVERAGE(B1:K7)</f>
        <v>2.9419300000000006</v>
      </c>
    </row>
    <row r="12" spans="1:12" ht="19" x14ac:dyDescent="0.25">
      <c r="A12" s="2" t="s">
        <v>0</v>
      </c>
      <c r="B12">
        <v>0</v>
      </c>
      <c r="C12">
        <v>10</v>
      </c>
      <c r="D12">
        <v>20</v>
      </c>
      <c r="E12">
        <v>30</v>
      </c>
      <c r="F12">
        <v>40</v>
      </c>
      <c r="G12">
        <v>50</v>
      </c>
      <c r="H12">
        <v>60</v>
      </c>
      <c r="I12">
        <v>70</v>
      </c>
      <c r="J12">
        <v>80</v>
      </c>
      <c r="K12">
        <v>90</v>
      </c>
    </row>
    <row r="13" spans="1:12" ht="19" x14ac:dyDescent="0.25">
      <c r="A13" s="1">
        <v>0</v>
      </c>
      <c r="B13">
        <v>0</v>
      </c>
      <c r="C13">
        <v>0</v>
      </c>
      <c r="D13">
        <v>0</v>
      </c>
      <c r="E13">
        <v>0</v>
      </c>
      <c r="F13">
        <v>0.1</v>
      </c>
      <c r="G13">
        <v>0.8</v>
      </c>
      <c r="H13">
        <v>4.9000000000000004</v>
      </c>
      <c r="I13">
        <v>13.7</v>
      </c>
      <c r="J13">
        <v>19.8</v>
      </c>
      <c r="K13">
        <v>17.3</v>
      </c>
      <c r="L13">
        <f>SUM(B13:K13)/100</f>
        <v>0.56599999999999995</v>
      </c>
    </row>
    <row r="14" spans="1:12" ht="19" x14ac:dyDescent="0.25">
      <c r="A14" s="1">
        <v>2.5000000000000001E-2</v>
      </c>
      <c r="B14">
        <v>0</v>
      </c>
      <c r="C14">
        <v>0</v>
      </c>
      <c r="D14">
        <v>0</v>
      </c>
      <c r="E14">
        <v>0</v>
      </c>
      <c r="F14">
        <v>0</v>
      </c>
      <c r="G14">
        <v>0.3</v>
      </c>
      <c r="H14">
        <v>1.5</v>
      </c>
      <c r="I14">
        <v>4.9000000000000004</v>
      </c>
      <c r="J14">
        <v>6.9</v>
      </c>
      <c r="K14">
        <v>7</v>
      </c>
      <c r="L14">
        <f t="shared" ref="L14:L19" si="0">SUM(B14:K14)/100</f>
        <v>0.20600000000000002</v>
      </c>
    </row>
    <row r="15" spans="1:12" ht="19" x14ac:dyDescent="0.25">
      <c r="A15" s="1">
        <v>0.05</v>
      </c>
      <c r="B15">
        <v>0</v>
      </c>
      <c r="C15">
        <v>0</v>
      </c>
      <c r="D15">
        <v>0</v>
      </c>
      <c r="E15">
        <v>0</v>
      </c>
      <c r="F15">
        <v>0</v>
      </c>
      <c r="G15">
        <v>0.2</v>
      </c>
      <c r="H15">
        <v>0.9</v>
      </c>
      <c r="I15">
        <v>2.6</v>
      </c>
      <c r="J15">
        <v>3.1</v>
      </c>
      <c r="K15">
        <v>2.6</v>
      </c>
      <c r="L15">
        <f t="shared" si="0"/>
        <v>9.4E-2</v>
      </c>
    </row>
    <row r="16" spans="1:12" ht="19" x14ac:dyDescent="0.25">
      <c r="A16" s="1">
        <v>7.4999999999999997E-2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0.6</v>
      </c>
      <c r="I16">
        <v>1.3</v>
      </c>
      <c r="J16">
        <v>2.6</v>
      </c>
      <c r="K16">
        <v>3</v>
      </c>
      <c r="L16">
        <f t="shared" si="0"/>
        <v>7.4999999999999997E-2</v>
      </c>
    </row>
    <row r="17" spans="1:12" ht="19" x14ac:dyDescent="0.25">
      <c r="A17" s="1">
        <v>0.1</v>
      </c>
      <c r="B17">
        <v>0</v>
      </c>
      <c r="C17">
        <v>0</v>
      </c>
      <c r="D17">
        <v>0</v>
      </c>
      <c r="E17">
        <v>0</v>
      </c>
      <c r="F17">
        <v>0</v>
      </c>
      <c r="G17">
        <v>0.1</v>
      </c>
      <c r="H17">
        <v>0.2</v>
      </c>
      <c r="I17">
        <v>0.2</v>
      </c>
      <c r="J17">
        <v>1.3</v>
      </c>
      <c r="K17">
        <v>0.9</v>
      </c>
      <c r="L17">
        <f t="shared" si="0"/>
        <v>2.7000000000000003E-2</v>
      </c>
    </row>
    <row r="18" spans="1:12" ht="19" x14ac:dyDescent="0.25">
      <c r="A18" s="1">
        <v>0.125</v>
      </c>
      <c r="B18">
        <v>0</v>
      </c>
      <c r="C18">
        <v>0</v>
      </c>
      <c r="D18">
        <v>0</v>
      </c>
      <c r="E18">
        <v>0</v>
      </c>
      <c r="F18">
        <v>0.1</v>
      </c>
      <c r="G18">
        <v>0</v>
      </c>
      <c r="H18">
        <v>0.2</v>
      </c>
      <c r="I18">
        <v>0.3</v>
      </c>
      <c r="J18">
        <v>0.6</v>
      </c>
      <c r="K18">
        <v>0.2</v>
      </c>
      <c r="L18">
        <f t="shared" si="0"/>
        <v>1.4000000000000002E-2</v>
      </c>
    </row>
    <row r="19" spans="1:12" ht="19" x14ac:dyDescent="0.25">
      <c r="A19" s="1">
        <v>0.15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0.1</v>
      </c>
      <c r="I19">
        <v>0.6</v>
      </c>
      <c r="J19">
        <v>0.3</v>
      </c>
      <c r="K19">
        <v>0.8</v>
      </c>
      <c r="L19">
        <f t="shared" si="0"/>
        <v>1.8000000000000002E-2</v>
      </c>
    </row>
    <row r="20" spans="1:12" x14ac:dyDescent="0.2">
      <c r="B20">
        <f>SUM(B13:B19)/100</f>
        <v>0</v>
      </c>
      <c r="C20">
        <f t="shared" ref="C20:K20" si="1">SUM(C13:C19)/100</f>
        <v>0</v>
      </c>
      <c r="D20">
        <f t="shared" si="1"/>
        <v>0</v>
      </c>
      <c r="E20">
        <f t="shared" si="1"/>
        <v>0</v>
      </c>
      <c r="F20">
        <f t="shared" si="1"/>
        <v>2E-3</v>
      </c>
      <c r="G20">
        <f t="shared" si="1"/>
        <v>1.4000000000000002E-2</v>
      </c>
      <c r="H20">
        <f t="shared" si="1"/>
        <v>8.3999999999999991E-2</v>
      </c>
      <c r="I20">
        <f t="shared" si="1"/>
        <v>0.23600000000000004</v>
      </c>
      <c r="J20">
        <f t="shared" si="1"/>
        <v>0.34600000000000003</v>
      </c>
      <c r="K20">
        <f t="shared" si="1"/>
        <v>0.318</v>
      </c>
    </row>
    <row r="21" spans="1:12" x14ac:dyDescent="0.2">
      <c r="B21">
        <f t="shared" ref="B21:J21" si="2">B20*B12</f>
        <v>0</v>
      </c>
      <c r="C21">
        <f t="shared" si="2"/>
        <v>0</v>
      </c>
      <c r="D21">
        <f t="shared" si="2"/>
        <v>0</v>
      </c>
      <c r="E21">
        <f t="shared" si="2"/>
        <v>0</v>
      </c>
      <c r="F21">
        <f t="shared" si="2"/>
        <v>0.08</v>
      </c>
      <c r="G21">
        <f t="shared" si="2"/>
        <v>0.70000000000000007</v>
      </c>
      <c r="H21">
        <f t="shared" si="2"/>
        <v>5.0399999999999991</v>
      </c>
      <c r="I21">
        <f t="shared" si="2"/>
        <v>16.520000000000003</v>
      </c>
      <c r="J21">
        <f t="shared" si="2"/>
        <v>27.680000000000003</v>
      </c>
      <c r="K21">
        <f>K20*K12</f>
        <v>28.62</v>
      </c>
      <c r="L21">
        <f>SUM(B21:K21)</f>
        <v>78.640000000000015</v>
      </c>
    </row>
    <row r="22" spans="1:12" x14ac:dyDescent="0.2">
      <c r="B22">
        <f>SUMPRODUCT(B20:K20,B12:K12)</f>
        <v>78.640000000000015</v>
      </c>
    </row>
    <row r="23" spans="1:12" x14ac:dyDescent="0.2">
      <c r="L23" s="3">
        <f>SUMPRODUCT(A13:A19,L13:L19)</f>
        <v>2.2625000000000003E-2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Martinez Torres</dc:creator>
  <cp:lastModifiedBy>Hans Martinez Torres</cp:lastModifiedBy>
  <dcterms:created xsi:type="dcterms:W3CDTF">2025-11-04T13:58:49Z</dcterms:created>
  <dcterms:modified xsi:type="dcterms:W3CDTF">2025-11-05T20:28:04Z</dcterms:modified>
</cp:coreProperties>
</file>